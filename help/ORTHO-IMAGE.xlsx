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81776d1a76517b/Documents/"/>
    </mc:Choice>
  </mc:AlternateContent>
  <xr:revisionPtr revIDLastSave="2" documentId="8_{3F8062C9-E559-4B89-9233-7DA7AFB5E217}" xr6:coauthVersionLast="47" xr6:coauthVersionMax="47" xr10:uidLastSave="{43341439-848A-4958-9BDD-784AAB908421}"/>
  <bookViews>
    <workbookView xWindow="-108" yWindow="-108" windowWidth="30936" windowHeight="18696" xr2:uid="{BC766F53-F171-4675-8940-00028F7CD774}"/>
  </bookViews>
  <sheets>
    <sheet name="GIS-Tool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1" i="1" l="1"/>
  <c r="Q37" i="1"/>
</calcChain>
</file>

<file path=xl/sharedStrings.xml><?xml version="1.0" encoding="utf-8"?>
<sst xmlns="http://schemas.openxmlformats.org/spreadsheetml/2006/main" count="20" uniqueCount="17">
  <si>
    <r>
      <t>pxm</t>
    </r>
    <r>
      <rPr>
        <sz val="10"/>
        <color theme="1"/>
        <rFont val="Arial"/>
        <family val="2"/>
      </rPr>
      <t xml:space="preserve"> (Target px/m)</t>
    </r>
  </si>
  <si>
    <r>
      <t>vpH</t>
    </r>
    <r>
      <rPr>
        <sz val="10"/>
        <color theme="1"/>
        <rFont val="Arial"/>
        <family val="2"/>
      </rPr>
      <t xml:space="preserve"> (Viewport Height)</t>
    </r>
  </si>
  <si>
    <r>
      <t>FOV</t>
    </r>
    <r>
      <rPr>
        <sz val="10"/>
        <color theme="1"/>
        <rFont val="Arial"/>
        <family val="2"/>
      </rPr>
      <t xml:space="preserve"> (in degrees)</t>
    </r>
  </si>
  <si>
    <t>Viewport size</t>
  </si>
  <si>
    <r>
      <t>eyeH</t>
    </r>
    <r>
      <rPr>
        <sz val="10"/>
        <color theme="1"/>
        <rFont val="Arial"/>
        <family val="2"/>
      </rPr>
      <t xml:space="preserve"> (Eye Height)</t>
    </r>
  </si>
  <si>
    <t>=2 * DEGREES(ATAN(vpH/ (2 * eyeH * pxm))</t>
  </si>
  <si>
    <t>FOV</t>
  </si>
  <si>
    <t>Too low -&gt; clips data</t>
  </si>
  <si>
    <t>CAM HEIGHT</t>
  </si>
  <si>
    <t>Clipping if above camera plane</t>
  </si>
  <si>
    <t>if you set a high pixels/m the tiles will overlap as the px/m can't be set</t>
  </si>
  <si>
    <t>Default =200m</t>
  </si>
  <si>
    <t>Too high -&gt; FOV limited</t>
  </si>
  <si>
    <t>Usable Range</t>
  </si>
  <si>
    <t>ROW</t>
  </si>
  <si>
    <t>COLUMN</t>
  </si>
  <si>
    <t>Mosaic Tile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</si>
</sst>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 indent="1"/>
    </xf>
    <xf numFmtId="2" fontId="0" fillId="0" borderId="0" xfId="0" applyNumberFormat="1"/>
    <xf numFmtId="0" fontId="1" fillId="0" borderId="1" xfId="0" applyFont="1" applyBorder="1" applyAlignment="1">
      <alignment horizontal="left" vertical="center" inden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quotePrefix="1"/>
    <xf numFmtId="0" fontId="3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/>
    </xf>
    <xf numFmtId="0" fontId="0" fillId="0" borderId="4" xfId="0" applyBorder="1"/>
    <xf numFmtId="0" fontId="0" fillId="0" borderId="5" xfId="0" applyBorder="1"/>
    <xf numFmtId="0" fontId="0" fillId="2" borderId="6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right" indent="1"/>
    </xf>
    <xf numFmtId="2" fontId="3" fillId="0" borderId="0" xfId="0" applyNumberFormat="1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21" Type="http://schemas.openxmlformats.org/officeDocument/2006/relationships/customXml" Target="../ink/ink11.xml"/><Relationship Id="rId42" Type="http://schemas.openxmlformats.org/officeDocument/2006/relationships/image" Target="../media/image21.png"/><Relationship Id="rId47" Type="http://schemas.openxmlformats.org/officeDocument/2006/relationships/customXml" Target="../ink/ink24.xml"/><Relationship Id="rId63" Type="http://schemas.openxmlformats.org/officeDocument/2006/relationships/customXml" Target="../ink/ink32.xml"/><Relationship Id="rId68" Type="http://schemas.openxmlformats.org/officeDocument/2006/relationships/image" Target="../media/image34.png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9" Type="http://schemas.openxmlformats.org/officeDocument/2006/relationships/customXml" Target="../ink/ink15.xml"/><Relationship Id="rId11" Type="http://schemas.openxmlformats.org/officeDocument/2006/relationships/customXml" Target="../ink/ink6.xml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37" Type="http://schemas.openxmlformats.org/officeDocument/2006/relationships/customXml" Target="../ink/ink19.xml"/><Relationship Id="rId40" Type="http://schemas.openxmlformats.org/officeDocument/2006/relationships/image" Target="../media/image20.png"/><Relationship Id="rId45" Type="http://schemas.openxmlformats.org/officeDocument/2006/relationships/customXml" Target="../ink/ink23.xml"/><Relationship Id="rId53" Type="http://schemas.openxmlformats.org/officeDocument/2006/relationships/customXml" Target="../ink/ink27.xml"/><Relationship Id="rId58" Type="http://schemas.openxmlformats.org/officeDocument/2006/relationships/image" Target="../media/image29.png"/><Relationship Id="rId66" Type="http://schemas.openxmlformats.org/officeDocument/2006/relationships/image" Target="../media/image33.png"/><Relationship Id="rId74" Type="http://schemas.openxmlformats.org/officeDocument/2006/relationships/image" Target="../media/image37.png"/><Relationship Id="rId5" Type="http://schemas.openxmlformats.org/officeDocument/2006/relationships/customXml" Target="../ink/ink3.xml"/><Relationship Id="rId61" Type="http://schemas.openxmlformats.org/officeDocument/2006/relationships/customXml" Target="../ink/ink31.xml"/><Relationship Id="rId19" Type="http://schemas.openxmlformats.org/officeDocument/2006/relationships/customXml" Target="../ink/ink10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customXml" Target="../ink/ink14.xml"/><Relationship Id="rId30" Type="http://schemas.openxmlformats.org/officeDocument/2006/relationships/image" Target="../media/image15.png"/><Relationship Id="rId35" Type="http://schemas.openxmlformats.org/officeDocument/2006/relationships/customXml" Target="../ink/ink18.xml"/><Relationship Id="rId43" Type="http://schemas.openxmlformats.org/officeDocument/2006/relationships/customXml" Target="../ink/ink22.xml"/><Relationship Id="rId48" Type="http://schemas.openxmlformats.org/officeDocument/2006/relationships/image" Target="../media/image24.png"/><Relationship Id="rId56" Type="http://schemas.openxmlformats.org/officeDocument/2006/relationships/image" Target="../media/image28.png"/><Relationship Id="rId64" Type="http://schemas.openxmlformats.org/officeDocument/2006/relationships/image" Target="../media/image32.png"/><Relationship Id="rId69" Type="http://schemas.openxmlformats.org/officeDocument/2006/relationships/customXml" Target="../ink/ink35.xml"/><Relationship Id="rId8" Type="http://schemas.openxmlformats.org/officeDocument/2006/relationships/image" Target="../media/image4.png"/><Relationship Id="rId51" Type="http://schemas.openxmlformats.org/officeDocument/2006/relationships/customXml" Target="../ink/ink26.xml"/><Relationship Id="rId72" Type="http://schemas.openxmlformats.org/officeDocument/2006/relationships/image" Target="../media/image36.png"/><Relationship Id="rId3" Type="http://schemas.openxmlformats.org/officeDocument/2006/relationships/customXml" Target="../ink/ink2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5" Type="http://schemas.openxmlformats.org/officeDocument/2006/relationships/customXml" Target="../ink/ink13.xml"/><Relationship Id="rId33" Type="http://schemas.openxmlformats.org/officeDocument/2006/relationships/customXml" Target="../ink/ink17.xml"/><Relationship Id="rId38" Type="http://schemas.openxmlformats.org/officeDocument/2006/relationships/image" Target="../media/image19.png"/><Relationship Id="rId46" Type="http://schemas.openxmlformats.org/officeDocument/2006/relationships/image" Target="../media/image23.png"/><Relationship Id="rId59" Type="http://schemas.openxmlformats.org/officeDocument/2006/relationships/customXml" Target="../ink/ink30.xml"/><Relationship Id="rId67" Type="http://schemas.openxmlformats.org/officeDocument/2006/relationships/customXml" Target="../ink/ink34.xml"/><Relationship Id="rId20" Type="http://schemas.openxmlformats.org/officeDocument/2006/relationships/image" Target="../media/image10.png"/><Relationship Id="rId41" Type="http://schemas.openxmlformats.org/officeDocument/2006/relationships/customXml" Target="../ink/ink21.xml"/><Relationship Id="rId54" Type="http://schemas.openxmlformats.org/officeDocument/2006/relationships/image" Target="../media/image27.png"/><Relationship Id="rId62" Type="http://schemas.openxmlformats.org/officeDocument/2006/relationships/image" Target="../media/image31.png"/><Relationship Id="rId70" Type="http://schemas.openxmlformats.org/officeDocument/2006/relationships/image" Target="../media/image35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49" Type="http://schemas.openxmlformats.org/officeDocument/2006/relationships/customXml" Target="../ink/ink25.xml"/><Relationship Id="rId57" Type="http://schemas.openxmlformats.org/officeDocument/2006/relationships/customXml" Target="../ink/ink29.xml"/><Relationship Id="rId10" Type="http://schemas.openxmlformats.org/officeDocument/2006/relationships/image" Target="../media/image5.png"/><Relationship Id="rId31" Type="http://schemas.openxmlformats.org/officeDocument/2006/relationships/customXml" Target="../ink/ink16.xml"/><Relationship Id="rId44" Type="http://schemas.openxmlformats.org/officeDocument/2006/relationships/image" Target="../media/image22.png"/><Relationship Id="rId52" Type="http://schemas.openxmlformats.org/officeDocument/2006/relationships/image" Target="../media/image26.png"/><Relationship Id="rId60" Type="http://schemas.openxmlformats.org/officeDocument/2006/relationships/image" Target="../media/image30.png"/><Relationship Id="rId65" Type="http://schemas.openxmlformats.org/officeDocument/2006/relationships/customXml" Target="../ink/ink33.xml"/><Relationship Id="rId73" Type="http://schemas.openxmlformats.org/officeDocument/2006/relationships/customXml" Target="../ink/ink37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39" Type="http://schemas.openxmlformats.org/officeDocument/2006/relationships/customXml" Target="../ink/ink20.xm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customXml" Target="../ink/ink28.xml"/><Relationship Id="rId7" Type="http://schemas.openxmlformats.org/officeDocument/2006/relationships/customXml" Target="../ink/ink4.xml"/><Relationship Id="rId71" Type="http://schemas.openxmlformats.org/officeDocument/2006/relationships/customXml" Target="../ink/ink3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182640</xdr:colOff>
      <xdr:row>6</xdr:row>
      <xdr:rowOff>98640</xdr:rowOff>
    </xdr:from>
    <xdr:ext cx="2811960" cy="3852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0CB759D-5347-4C04-B2B9-20AF3BC5B7F5}"/>
                </a:ext>
              </a:extLst>
            </xdr14:cNvPr>
            <xdr14:cNvContentPartPr/>
          </xdr14:nvContentPartPr>
          <xdr14:nvPr macro=""/>
          <xdr14:xfrm>
            <a:off x="4327920" y="3253320"/>
            <a:ext cx="2811960" cy="3852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0CB759D-5347-4C04-B2B9-20AF3BC5B7F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321800" y="3247200"/>
              <a:ext cx="2824200" cy="507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190200</xdr:colOff>
      <xdr:row>6</xdr:row>
      <xdr:rowOff>45360</xdr:rowOff>
    </xdr:from>
    <xdr:ext cx="83520" cy="10620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4100B3F-3D20-42CB-9FFB-96939E63DE7D}"/>
                </a:ext>
              </a:extLst>
            </xdr14:cNvPr>
            <xdr14:cNvContentPartPr/>
          </xdr14:nvContentPartPr>
          <xdr14:nvPr macro=""/>
          <xdr14:xfrm>
            <a:off x="4335480" y="3200040"/>
            <a:ext cx="83520" cy="10620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B4100B3F-3D20-42CB-9FFB-96939E63DE7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329360" y="3193920"/>
              <a:ext cx="95760" cy="1184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167520</xdr:colOff>
      <xdr:row>7</xdr:row>
      <xdr:rowOff>91260</xdr:rowOff>
    </xdr:from>
    <xdr:ext cx="2796840" cy="3060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9728C347-675E-411A-A075-52BD1B7702BC}"/>
                </a:ext>
              </a:extLst>
            </xdr14:cNvPr>
            <xdr14:cNvContentPartPr/>
          </xdr14:nvContentPartPr>
          <xdr14:nvPr macro=""/>
          <xdr14:xfrm>
            <a:off x="4312800" y="3497400"/>
            <a:ext cx="2796840" cy="3060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9728C347-675E-411A-A075-52BD1B7702B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306320" y="3491280"/>
              <a:ext cx="2809080" cy="428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167520</xdr:colOff>
      <xdr:row>7</xdr:row>
      <xdr:rowOff>41580</xdr:rowOff>
    </xdr:from>
    <xdr:ext cx="185040" cy="14364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ED790992-B165-4FC0-9D57-78A33342DECB}"/>
                </a:ext>
              </a:extLst>
            </xdr14:cNvPr>
            <xdr14:cNvContentPartPr/>
          </xdr14:nvContentPartPr>
          <xdr14:nvPr macro=""/>
          <xdr14:xfrm>
            <a:off x="4312800" y="3447720"/>
            <a:ext cx="185040" cy="14364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ED790992-B165-4FC0-9D57-78A33342DECB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306680" y="3441600"/>
              <a:ext cx="197280" cy="155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167280</xdr:colOff>
      <xdr:row>29</xdr:row>
      <xdr:rowOff>77040</xdr:rowOff>
    </xdr:from>
    <xdr:ext cx="3323160" cy="38016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9FB9877D-67C9-4715-96D7-2A00BCC4F434}"/>
                </a:ext>
              </a:extLst>
            </xdr14:cNvPr>
            <xdr14:cNvContentPartPr/>
          </xdr14:nvContentPartPr>
          <xdr14:nvPr macro=""/>
          <xdr14:xfrm>
            <a:off x="3702960" y="6615000"/>
            <a:ext cx="3323160" cy="38016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9FB9877D-67C9-4715-96D7-2A00BCC4F434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3696840" y="6608880"/>
              <a:ext cx="3335400" cy="3924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114000</xdr:colOff>
      <xdr:row>31</xdr:row>
      <xdr:rowOff>175320</xdr:rowOff>
    </xdr:from>
    <xdr:ext cx="3353400" cy="72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BAAA2EA-BE0F-4BFC-9CF3-DEA575F511BA}"/>
                </a:ext>
              </a:extLst>
            </xdr14:cNvPr>
            <xdr14:cNvContentPartPr/>
          </xdr14:nvContentPartPr>
          <xdr14:nvPr macro=""/>
          <xdr14:xfrm>
            <a:off x="3649680" y="7079040"/>
            <a:ext cx="3353400" cy="72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BAAA2EA-BE0F-4BFC-9CF3-DEA575F511BA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643560" y="7066080"/>
              <a:ext cx="3365640" cy="25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121620</xdr:colOff>
      <xdr:row>19</xdr:row>
      <xdr:rowOff>205560</xdr:rowOff>
    </xdr:from>
    <xdr:ext cx="252000" cy="38916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EB786DFA-0B21-4CDC-B0EC-CE7C7868933C}"/>
                </a:ext>
              </a:extLst>
            </xdr14:cNvPr>
            <xdr14:cNvContentPartPr/>
          </xdr14:nvContentPartPr>
          <xdr14:nvPr macro=""/>
          <xdr14:xfrm>
            <a:off x="5021280" y="4777560"/>
            <a:ext cx="252000" cy="38916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EB786DFA-0B21-4CDC-B0EC-CE7C7868933C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015160" y="4771440"/>
              <a:ext cx="264240" cy="4014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152220</xdr:colOff>
      <xdr:row>21</xdr:row>
      <xdr:rowOff>91080</xdr:rowOff>
    </xdr:from>
    <xdr:ext cx="435240" cy="72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ECDF871A-040B-4F21-B955-B98BA3DBB03C}"/>
                </a:ext>
              </a:extLst>
            </xdr14:cNvPr>
            <xdr14:cNvContentPartPr/>
          </xdr14:nvContentPartPr>
          <xdr14:nvPr macro=""/>
          <xdr14:xfrm>
            <a:off x="5051880" y="5166000"/>
            <a:ext cx="435240" cy="72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ECDF871A-040B-4F21-B955-B98BA3DBB03C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5045760" y="5153760"/>
              <a:ext cx="447480" cy="25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114180</xdr:colOff>
      <xdr:row>19</xdr:row>
      <xdr:rowOff>205560</xdr:rowOff>
    </xdr:from>
    <xdr:ext cx="217800" cy="35136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07500195-6922-405D-A5F0-90808AA221EE}"/>
                </a:ext>
              </a:extLst>
            </xdr14:cNvPr>
            <xdr14:cNvContentPartPr/>
          </xdr14:nvContentPartPr>
          <xdr14:nvPr macro=""/>
          <xdr14:xfrm>
            <a:off x="5272920" y="4777560"/>
            <a:ext cx="217800" cy="35136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07500195-6922-405D-A5F0-90808AA221EE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5266800" y="4771440"/>
              <a:ext cx="230040" cy="363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152160</xdr:colOff>
      <xdr:row>21</xdr:row>
      <xdr:rowOff>106200</xdr:rowOff>
    </xdr:from>
    <xdr:ext cx="1326240" cy="164628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830CD56F-AE5E-48B1-B275-F8600839A7BB}"/>
                </a:ext>
              </a:extLst>
            </xdr14:cNvPr>
            <xdr14:cNvContentPartPr/>
          </xdr14:nvContentPartPr>
          <xdr14:nvPr macro=""/>
          <xdr14:xfrm>
            <a:off x="3687840" y="5181120"/>
            <a:ext cx="1326240" cy="164628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830CD56F-AE5E-48B1-B275-F8600839A7B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3681360" y="5175000"/>
              <a:ext cx="1338480" cy="1658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91260</xdr:colOff>
      <xdr:row>21</xdr:row>
      <xdr:rowOff>52920</xdr:rowOff>
    </xdr:from>
    <xdr:ext cx="1547280" cy="174492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31AB0468-CC10-4D57-B256-B31FF9A3A213}"/>
                </a:ext>
              </a:extLst>
            </xdr14:cNvPr>
            <xdr14:cNvContentPartPr/>
          </xdr14:nvContentPartPr>
          <xdr14:nvPr macro=""/>
          <xdr14:xfrm>
            <a:off x="5509080" y="5127840"/>
            <a:ext cx="1547280" cy="174492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31AB0468-CC10-4D57-B256-B31FF9A3A213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5502960" y="5121720"/>
              <a:ext cx="1559520" cy="17571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</xdr:col>
      <xdr:colOff>403740</xdr:colOff>
      <xdr:row>20</xdr:row>
      <xdr:rowOff>14940</xdr:rowOff>
    </xdr:from>
    <xdr:ext cx="720" cy="220284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E18A4681-BEE3-42AC-8BCD-CDC1DF48B136}"/>
                </a:ext>
              </a:extLst>
            </xdr14:cNvPr>
            <xdr14:cNvContentPartPr/>
          </xdr14:nvContentPartPr>
          <xdr14:nvPr macro=""/>
          <xdr14:xfrm>
            <a:off x="7376040" y="4838400"/>
            <a:ext cx="720" cy="220284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E18A4681-BEE3-42AC-8BCD-CDC1DF48B136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7340040" y="4820760"/>
              <a:ext cx="72000" cy="2238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</xdr:col>
      <xdr:colOff>292140</xdr:colOff>
      <xdr:row>19</xdr:row>
      <xdr:rowOff>243360</xdr:rowOff>
    </xdr:from>
    <xdr:ext cx="252720" cy="25056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40F615DC-C5DA-4080-A251-DC18456D1391}"/>
                </a:ext>
              </a:extLst>
            </xdr14:cNvPr>
            <xdr14:cNvContentPartPr/>
          </xdr14:nvContentPartPr>
          <xdr14:nvPr macro=""/>
          <xdr14:xfrm>
            <a:off x="7264440" y="4815360"/>
            <a:ext cx="252720" cy="25056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40F615DC-C5DA-4080-A251-DC18456D1391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7246466" y="4797720"/>
              <a:ext cx="288309" cy="286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</xdr:col>
      <xdr:colOff>258660</xdr:colOff>
      <xdr:row>30</xdr:row>
      <xdr:rowOff>83520</xdr:rowOff>
    </xdr:from>
    <xdr:ext cx="142200" cy="23904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B9BA5326-7CEA-4DFA-9983-01992552346D}"/>
                </a:ext>
              </a:extLst>
            </xdr14:cNvPr>
            <xdr14:cNvContentPartPr/>
          </xdr14:nvContentPartPr>
          <xdr14:nvPr macro=""/>
          <xdr14:xfrm>
            <a:off x="7230960" y="6804360"/>
            <a:ext cx="142200" cy="239040"/>
          </xdr14:xfrm>
        </xdr:contentPart>
      </mc:Choice>
      <mc:Fallback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B9BA5326-7CEA-4DFA-9983-01992552346D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7213320" y="6786720"/>
              <a:ext cx="177840" cy="274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</xdr:col>
      <xdr:colOff>411300</xdr:colOff>
      <xdr:row>30</xdr:row>
      <xdr:rowOff>91080</xdr:rowOff>
    </xdr:from>
    <xdr:ext cx="114480" cy="21384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26C4AF57-9A46-4B83-BA0B-A51F744BC7FF}"/>
                </a:ext>
              </a:extLst>
            </xdr14:cNvPr>
            <xdr14:cNvContentPartPr/>
          </xdr14:nvContentPartPr>
          <xdr14:nvPr macro=""/>
          <xdr14:xfrm>
            <a:off x="7383600" y="6811920"/>
            <a:ext cx="114480" cy="213840"/>
          </xdr14:xfrm>
        </xdr:contentPart>
      </mc:Choice>
      <mc:Fallback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26C4AF57-9A46-4B83-BA0B-A51F744BC7FF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7365600" y="6793920"/>
              <a:ext cx="150120" cy="249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7440</xdr:colOff>
      <xdr:row>21</xdr:row>
      <xdr:rowOff>7200</xdr:rowOff>
    </xdr:from>
    <xdr:ext cx="3437280" cy="72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BA9491E0-87AE-4ECC-B6B8-A0B340B11367}"/>
                </a:ext>
              </a:extLst>
            </xdr14:cNvPr>
            <xdr14:cNvContentPartPr/>
          </xdr14:nvContentPartPr>
          <xdr14:nvPr macro=""/>
          <xdr14:xfrm>
            <a:off x="3543120" y="5082120"/>
            <a:ext cx="3437280" cy="720"/>
          </xdr14:xfrm>
        </xdr:contentPart>
      </mc:Choice>
      <mc:Fallback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BA9491E0-87AE-4ECC-B6B8-A0B340B11367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3525120" y="5046120"/>
              <a:ext cx="3472920" cy="72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2925960</xdr:colOff>
      <xdr:row>26</xdr:row>
      <xdr:rowOff>174960</xdr:rowOff>
    </xdr:from>
    <xdr:ext cx="3467160" cy="828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9E3D9105-5083-40E6-81DA-FB98E753303C}"/>
                </a:ext>
              </a:extLst>
            </xdr14:cNvPr>
            <xdr14:cNvContentPartPr/>
          </xdr14:nvContentPartPr>
          <xdr14:nvPr macro=""/>
          <xdr14:xfrm>
            <a:off x="3535560" y="6164280"/>
            <a:ext cx="3467160" cy="8280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9E3D9105-5083-40E6-81DA-FB98E753303C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3517920" y="6146280"/>
              <a:ext cx="3502800" cy="439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121800</xdr:colOff>
      <xdr:row>21</xdr:row>
      <xdr:rowOff>15060</xdr:rowOff>
    </xdr:from>
    <xdr:ext cx="720" cy="103680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51E86249-4D8F-4774-AA8C-CD1A705E7B60}"/>
                </a:ext>
              </a:extLst>
            </xdr14:cNvPr>
            <xdr14:cNvContentPartPr/>
          </xdr14:nvContentPartPr>
          <xdr14:nvPr macro=""/>
          <xdr14:xfrm>
            <a:off x="3657480" y="5089980"/>
            <a:ext cx="720" cy="1036800"/>
          </xdr14:xfrm>
        </xdr:contentPart>
      </mc:Choice>
      <mc:Fallback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51E86249-4D8F-4774-AA8C-CD1A705E7B60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3621480" y="5072340"/>
              <a:ext cx="72000" cy="10724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15000</xdr:colOff>
      <xdr:row>26</xdr:row>
      <xdr:rowOff>30240</xdr:rowOff>
    </xdr:from>
    <xdr:ext cx="152640" cy="13140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6DAA79C0-FF0E-456A-9DBA-2F019EA26E84}"/>
                </a:ext>
              </a:extLst>
            </xdr14:cNvPr>
            <xdr14:cNvContentPartPr/>
          </xdr14:nvContentPartPr>
          <xdr14:nvPr macro=""/>
          <xdr14:xfrm>
            <a:off x="3550680" y="6019560"/>
            <a:ext cx="152640" cy="131400"/>
          </xdr14:xfrm>
        </xdr:contentPart>
      </mc:Choice>
      <mc:Fallback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6DAA79C0-FF0E-456A-9DBA-2F019EA26E84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3533040" y="6001920"/>
              <a:ext cx="188280" cy="167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15000</xdr:colOff>
      <xdr:row>20</xdr:row>
      <xdr:rowOff>251100</xdr:rowOff>
    </xdr:from>
    <xdr:ext cx="106920" cy="17532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BF3CA83F-9A96-499F-9165-056DD0CFB595}"/>
                </a:ext>
              </a:extLst>
            </xdr14:cNvPr>
            <xdr14:cNvContentPartPr/>
          </xdr14:nvContentPartPr>
          <xdr14:nvPr macro=""/>
          <xdr14:xfrm>
            <a:off x="3550680" y="5074560"/>
            <a:ext cx="106920" cy="175320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BF3CA83F-9A96-499F-9165-056DD0CFB595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3544560" y="5068440"/>
              <a:ext cx="119160" cy="1875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147120</xdr:colOff>
      <xdr:row>21</xdr:row>
      <xdr:rowOff>43920</xdr:rowOff>
    </xdr:from>
    <xdr:ext cx="89280" cy="14652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1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C9C15371-F6CB-404F-9328-B5190AB0C2EF}"/>
                </a:ext>
              </a:extLst>
            </xdr14:cNvPr>
            <xdr14:cNvContentPartPr/>
          </xdr14:nvContentPartPr>
          <xdr14:nvPr macro=""/>
          <xdr14:xfrm>
            <a:off x="3682800" y="5118840"/>
            <a:ext cx="89280" cy="146520"/>
          </xdr14:xfrm>
        </xdr:contentPart>
      </mc:Choice>
      <mc:Fallback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C9C15371-F6CB-404F-9328-B5190AB0C2EF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3676680" y="5112720"/>
              <a:ext cx="101520" cy="1587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129300</xdr:colOff>
      <xdr:row>25</xdr:row>
      <xdr:rowOff>182520</xdr:rowOff>
    </xdr:from>
    <xdr:ext cx="221400" cy="37368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3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7CAF1A87-C59D-4C24-89AB-AC44F3197778}"/>
                </a:ext>
              </a:extLst>
            </xdr14:cNvPr>
            <xdr14:cNvContentPartPr/>
          </xdr14:nvContentPartPr>
          <xdr14:nvPr macro=""/>
          <xdr14:xfrm>
            <a:off x="5288040" y="5988960"/>
            <a:ext cx="221400" cy="373680"/>
          </xdr14:xfrm>
        </xdr:contentPart>
      </mc:Choice>
      <mc:Fallback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7CAF1A87-C59D-4C24-89AB-AC44F3197778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5281920" y="5982840"/>
              <a:ext cx="233640" cy="3859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136740</xdr:colOff>
      <xdr:row>26</xdr:row>
      <xdr:rowOff>7200</xdr:rowOff>
    </xdr:from>
    <xdr:ext cx="267120" cy="37368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5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ED58D108-F011-4A17-809B-39A01F3A5178}"/>
                </a:ext>
              </a:extLst>
            </xdr14:cNvPr>
            <xdr14:cNvContentPartPr/>
          </xdr14:nvContentPartPr>
          <xdr14:nvPr macro=""/>
          <xdr14:xfrm>
            <a:off x="5036400" y="5996520"/>
            <a:ext cx="267120" cy="373680"/>
          </xdr14:xfrm>
        </xdr:contentPart>
      </mc:Choice>
      <mc:Fallback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ED58D108-F011-4A17-809B-39A01F3A5178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5030280" y="5990400"/>
              <a:ext cx="279360" cy="3859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152220</xdr:colOff>
      <xdr:row>28</xdr:row>
      <xdr:rowOff>7200</xdr:rowOff>
    </xdr:from>
    <xdr:ext cx="426960" cy="1584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7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A9BC2080-6B65-4762-B551-E8D2C259D0A8}"/>
                </a:ext>
              </a:extLst>
            </xdr14:cNvPr>
            <xdr14:cNvContentPartPr/>
          </xdr14:nvContentPartPr>
          <xdr14:nvPr macro=""/>
          <xdr14:xfrm>
            <a:off x="5051880" y="6362280"/>
            <a:ext cx="426960" cy="15840"/>
          </xdr14:xfrm>
        </xdr:contentPart>
      </mc:Choice>
      <mc:Fallback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A9BC2080-6B65-4762-B551-E8D2C259D0A8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5045760" y="6356160"/>
              <a:ext cx="439200" cy="280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</xdr:col>
      <xdr:colOff>418920</xdr:colOff>
      <xdr:row>35</xdr:row>
      <xdr:rowOff>37980</xdr:rowOff>
    </xdr:from>
    <xdr:ext cx="360" cy="36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9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93B2468C-32D5-4C6E-A3FC-839493B011CF}"/>
                </a:ext>
              </a:extLst>
            </xdr14:cNvPr>
            <xdr14:cNvContentPartPr/>
          </xdr14:nvContentPartPr>
          <xdr14:nvPr macro=""/>
          <xdr14:xfrm>
            <a:off x="1028520" y="1341000"/>
            <a:ext cx="360" cy="360"/>
          </xdr14:xfrm>
        </xdr:contentPart>
      </mc:Choice>
      <mc:Fallback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93B2468C-32D5-4C6E-A3FC-839493B011CF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1022400" y="13348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60900</xdr:colOff>
      <xdr:row>28</xdr:row>
      <xdr:rowOff>22680</xdr:rowOff>
    </xdr:from>
    <xdr:ext cx="594360" cy="70884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1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872B7AC4-3E85-4146-BEFE-CC8872309ED1}"/>
                </a:ext>
              </a:extLst>
            </xdr14:cNvPr>
            <xdr14:cNvContentPartPr/>
          </xdr14:nvContentPartPr>
          <xdr14:nvPr macro=""/>
          <xdr14:xfrm>
            <a:off x="4442400" y="6377760"/>
            <a:ext cx="594360" cy="708840"/>
          </xdr14:xfrm>
        </xdr:contentPart>
      </mc:Choice>
      <mc:Fallback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872B7AC4-3E85-4146-BEFE-CC8872309ED1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4436280" y="6371640"/>
              <a:ext cx="606600" cy="7210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91260</xdr:colOff>
      <xdr:row>28</xdr:row>
      <xdr:rowOff>7200</xdr:rowOff>
    </xdr:from>
    <xdr:ext cx="495720" cy="70164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3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90D5197F-4397-4C44-853B-8F3A8411CAF9}"/>
                </a:ext>
              </a:extLst>
            </xdr14:cNvPr>
            <xdr14:cNvContentPartPr/>
          </xdr14:nvContentPartPr>
          <xdr14:nvPr macro=""/>
          <xdr14:xfrm>
            <a:off x="5509080" y="6362280"/>
            <a:ext cx="495720" cy="701640"/>
          </xdr14:xfrm>
        </xdr:contentPart>
      </mc:Choice>
      <mc:Fallback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90D5197F-4397-4C44-853B-8F3A8411CAF9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5502960" y="6356160"/>
              <a:ext cx="507960" cy="713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7500</xdr:colOff>
      <xdr:row>31</xdr:row>
      <xdr:rowOff>121680</xdr:rowOff>
    </xdr:from>
    <xdr:ext cx="7920" cy="191160"/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5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00C355CC-1742-429A-A2C0-10AA0D91BC0C}"/>
                </a:ext>
              </a:extLst>
            </xdr14:cNvPr>
            <xdr14:cNvContentPartPr/>
          </xdr14:nvContentPartPr>
          <xdr14:nvPr macro=""/>
          <xdr14:xfrm>
            <a:off x="4907160" y="7025400"/>
            <a:ext cx="7920" cy="191160"/>
          </xdr14:xfrm>
        </xdr:contentPart>
      </mc:Choice>
      <mc:Fallback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00C355CC-1742-429A-A2C0-10AA0D91BC0C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4898160" y="6971400"/>
              <a:ext cx="25560" cy="298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7380</xdr:colOff>
      <xdr:row>31</xdr:row>
      <xdr:rowOff>98640</xdr:rowOff>
    </xdr:from>
    <xdr:ext cx="7920" cy="214200"/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7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7878EF49-9704-4543-98D8-4AC86AE1DBD1}"/>
                </a:ext>
              </a:extLst>
            </xdr14:cNvPr>
            <xdr14:cNvContentPartPr/>
          </xdr14:nvContentPartPr>
          <xdr14:nvPr macro=""/>
          <xdr14:xfrm>
            <a:off x="5425200" y="7002360"/>
            <a:ext cx="7920" cy="214200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7878EF49-9704-4543-98D8-4AC86AE1DBD1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5416200" y="6948360"/>
              <a:ext cx="25560" cy="3218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22740</xdr:colOff>
      <xdr:row>32</xdr:row>
      <xdr:rowOff>114120</xdr:rowOff>
    </xdr:from>
    <xdr:ext cx="227880" cy="2520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9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7E47C695-E760-4949-8EE8-E5415AF3E733}"/>
                </a:ext>
              </a:extLst>
            </xdr14:cNvPr>
            <xdr14:cNvContentPartPr/>
          </xdr14:nvContentPartPr>
          <xdr14:nvPr macro=""/>
          <xdr14:xfrm>
            <a:off x="5181480" y="7200720"/>
            <a:ext cx="227880" cy="25200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7E47C695-E760-4949-8EE8-E5415AF3E733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5127840" y="7092720"/>
              <a:ext cx="335520" cy="2408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</xdr:col>
      <xdr:colOff>60660</xdr:colOff>
      <xdr:row>25</xdr:row>
      <xdr:rowOff>28440</xdr:rowOff>
    </xdr:from>
    <xdr:ext cx="254880" cy="112968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1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FFD61C21-2E89-42D1-84DD-F5A34DD39B40}"/>
                </a:ext>
              </a:extLst>
            </xdr14:cNvPr>
            <xdr14:cNvContentPartPr/>
          </xdr14:nvContentPartPr>
          <xdr14:nvPr macro=""/>
          <xdr14:xfrm>
            <a:off x="6255720" y="5834880"/>
            <a:ext cx="254880" cy="1129680"/>
          </xdr14:xfrm>
        </xdr:contentPart>
      </mc:Choice>
      <mc:Fallback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FFD61C21-2E89-42D1-84DD-F5A34DD39B40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6249600" y="5828760"/>
              <a:ext cx="267120" cy="11419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</xdr:col>
      <xdr:colOff>220860</xdr:colOff>
      <xdr:row>26</xdr:row>
      <xdr:rowOff>14760</xdr:rowOff>
    </xdr:from>
    <xdr:ext cx="41040" cy="1152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3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ED7FA033-8209-409A-AF7D-E0B80C1502D4}"/>
                </a:ext>
              </a:extLst>
            </xdr14:cNvPr>
            <xdr14:cNvContentPartPr/>
          </xdr14:nvContentPartPr>
          <xdr14:nvPr macro=""/>
          <xdr14:xfrm>
            <a:off x="6415920" y="6004080"/>
            <a:ext cx="41040" cy="11520"/>
          </xdr14:xfrm>
        </xdr:contentPart>
      </mc:Choice>
      <mc:Fallback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ED7FA033-8209-409A-AF7D-E0B80C1502D4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6362280" y="5896440"/>
              <a:ext cx="148680" cy="2271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83460</xdr:colOff>
      <xdr:row>24</xdr:row>
      <xdr:rowOff>30240</xdr:rowOff>
    </xdr:from>
    <xdr:ext cx="366120" cy="21348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5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0BB8D17F-95A7-4544-9F8F-B60D0893BB3C}"/>
                </a:ext>
              </a:extLst>
            </xdr14:cNvPr>
            <xdr14:cNvContentPartPr/>
          </xdr14:nvContentPartPr>
          <xdr14:nvPr macro=""/>
          <xdr14:xfrm>
            <a:off x="6537600" y="5653800"/>
            <a:ext cx="366120" cy="213480"/>
          </xdr14:xfrm>
        </xdr:contentPart>
      </mc:Choice>
      <mc:Fallback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0BB8D17F-95A7-4544-9F8F-B60D0893BB3C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6531120" y="5647680"/>
              <a:ext cx="378360" cy="2257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84540</xdr:colOff>
      <xdr:row>24</xdr:row>
      <xdr:rowOff>151920</xdr:rowOff>
    </xdr:from>
    <xdr:ext cx="52560" cy="8460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7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C3A4E4A0-EB7C-4416-B0F1-4DE951916BDD}"/>
                </a:ext>
              </a:extLst>
            </xdr14:cNvPr>
            <xdr14:cNvContentPartPr/>
          </xdr14:nvContentPartPr>
          <xdr14:nvPr macro=""/>
          <xdr14:xfrm>
            <a:off x="6538680" y="5775480"/>
            <a:ext cx="52560" cy="84600"/>
          </xdr14:xfrm>
        </xdr:contentPart>
      </mc:Choice>
      <mc:Fallback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C3A4E4A0-EB7C-4416-B0F1-4DE951916BDD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6532560" y="5769360"/>
              <a:ext cx="64800" cy="968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91740</xdr:colOff>
      <xdr:row>24</xdr:row>
      <xdr:rowOff>150840</xdr:rowOff>
    </xdr:from>
    <xdr:ext cx="104400" cy="12384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9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C9E6669F-F611-46D4-84B3-A203D9AF6048}"/>
                </a:ext>
              </a:extLst>
            </xdr14:cNvPr>
            <xdr14:cNvContentPartPr/>
          </xdr14:nvContentPartPr>
          <xdr14:nvPr macro=""/>
          <xdr14:xfrm>
            <a:off x="6545880" y="5774400"/>
            <a:ext cx="104400" cy="123840"/>
          </xdr14:xfrm>
        </xdr:contentPart>
      </mc:Choice>
      <mc:Fallback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C9E6669F-F611-46D4-84B3-A203D9AF6048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6539760" y="5768280"/>
              <a:ext cx="116640" cy="1360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213180</xdr:colOff>
      <xdr:row>23</xdr:row>
      <xdr:rowOff>98640</xdr:rowOff>
    </xdr:from>
    <xdr:ext cx="654480" cy="9972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1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CB6F7F60-BE24-43A0-8964-6F91B3AAF4A6}"/>
                </a:ext>
              </a:extLst>
            </xdr14:cNvPr>
            <xdr14:cNvContentPartPr/>
          </xdr14:nvContentPartPr>
          <xdr14:nvPr macro=""/>
          <xdr14:xfrm>
            <a:off x="6926400" y="5539320"/>
            <a:ext cx="654480" cy="99720"/>
          </xdr14:xfrm>
        </xdr:contentPart>
      </mc:Choice>
      <mc:Fallback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CB6F7F60-BE24-43A0-8964-6F91B3AAF4A6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6920280" y="5533200"/>
              <a:ext cx="666720" cy="1119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</xdr:col>
      <xdr:colOff>296820</xdr:colOff>
      <xdr:row>20</xdr:row>
      <xdr:rowOff>53100</xdr:rowOff>
    </xdr:from>
    <xdr:ext cx="360" cy="36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3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C8C7D482-65EA-4AA1-AE2E-4F3AB9277CE5}"/>
                </a:ext>
              </a:extLst>
            </xdr14:cNvPr>
            <xdr14:cNvContentPartPr/>
          </xdr14:nvContentPartPr>
          <xdr14:nvPr macro=""/>
          <xdr14:xfrm>
            <a:off x="9097920" y="4876560"/>
            <a:ext cx="360" cy="360"/>
          </xdr14:xfrm>
        </xdr:contentPart>
      </mc:Choice>
      <mc:Fallback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C8C7D482-65EA-4AA1-AE2E-4F3AB9277CE5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9091800" y="48704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4:55:02.52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7810 106 24262,'-7810'-105'0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4:55:02.52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171 1 24575,'0'3'0,"-4"2"0,-1 3 0,-3 1 0,-1 2 0,2 3 0,-2-1 0,-3-3 0,1 0 0,2 3 0,-1 2 0,-3-1 0,2 1 0,-2-3 0,2 1 0,-1-2 0,1-3-8191</inkml:trace>
  <inkml:trace contextRef="#ctx0" brushRef="#br0" timeOffset="1">1 192 24575,'3'0'0,"6"0"0,4 3 0,4 6 0,2 0 0,2 3 0,0-1 0,1-3 0,-3 2 0,-2-1 0,0 1 0,1-1 0,1-1 0,-3-3-8191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4:55:02.52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7768 84 24254,'-7768'-84'0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4:55:02.52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1 139 24575,'20'-2'0,"1"0"0,-1-2 0,30-8 0,-17 4 0,149-43 0,-115 31 0,-30 11-12,-27 7-213,-1 0-1,0 0 1,0-1-1,0 0 1,16-9-1,-13 5-6600</inkml:trace>
  <inkml:trace contextRef="#ctx0" brushRef="#br0" timeOffset="1">1 96 24575,'10'0'0,"0"1"0,0 1 0,0 0 0,-1 0 0,1 1 0,0 0 0,-1 0 0,0 1 0,0 1 0,16 9 0,5 7 0,45 41 0,-45-36 0,-16-12-2,-1 0 0,0 1-1,-1 0 1,17 29 0,-1-2-1352,-21-31-5472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4:55:02.5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1056 24575,'95'-4'0,"1"-3"0,-1-5 0,158-41 0,-245 50 0,0 1 0,0-1 0,0-1 0,-1 0 0,1 0 0,-1 0 0,0-1 0,0 0 0,0 0 0,-1-1 0,0 0 0,0 0 0,0 0 0,-1-1 0,0 0 0,7-13 0,2-7 0,-1-2 0,-1 0 0,10-38 0,-8 21 0,6-12 0,37-73 0,-48 113 0,1-1 0,1 1 0,1 1 0,0 0 0,2 1 0,0 0 0,25-22 0,-35 35 0,0 0 0,0 0 0,1 0 0,0 1 0,-1-1 0,1 1 0,0 0 0,0 0 0,8-1 0,-10 2 0,1 1 0,-1 0 0,0 0 0,0 0 0,0 0 0,0 0 0,0 1 0,1 0 0,-1-1 0,0 1 0,0 0 0,0 0 0,0 1 0,-1-1 0,1 1 0,0-1 0,4 4 0,37 33 0,48 55 0,19 17 0,29 11 0,186 124 0,-315-238 0,61 37 0,-65-41 0,0 1 0,0-2 0,0 1 0,0-1 0,0 0 0,1 0 0,-1-1 0,12 1 0,-16-2 0,0-1 0,0 1 0,0-1 0,0 0 0,-1 0 0,1 0 0,0 0 0,0 0 0,-1 0 0,1-1 0,-1 1 0,0-1 0,1 0 0,-1 0 0,0 0 0,0 0 0,0 0 0,3-5 0,4-5 0,-1 0 0,10-22 0,-3 5 0,-13 25 0,1-1 0,0 0 0,0 1 0,0 0 0,0-1 0,1 1 0,0 1 0,0-1 0,0 0 0,0 1 0,0 0 0,1 0 0,-1 0 0,1 1 0,0-1 0,0 1 0,0 0 0,0 1 0,0-1 0,0 1 0,0 0 0,1 0 0,-1 1 0,0-1 0,1 1 0,6 1 0,42-1 0,256 5 0,-220 4 0,-59-4 0,41 0 0,-61-5 0,1-1 0,-1 0 0,1-1 0,-1 0 0,0 0 0,0-1 0,13-6 0,5-5 0,0-2 0,52-37 0,-53 33 0,2 1 0,36-18 0,-63 35 0,0 1 0,1 0 0,-1-1 0,0 1 0,1 0 0,-1 0 0,0 1 0,1-1 0,0 1 0,-1 0 0,1 0 0,-1 0 0,1 0 0,6 2 0,-5 0 0,1 0 0,-1 1 0,0 0 0,0 0 0,0 1 0,0-1 0,8 9 0,-10-10 0,35 32 0,46 29 0,-70-54 0,-1-1 0,1 0 0,1-1 0,-1-1 0,1 0 0,0-1 0,30 6 0,-38-10 0,-1-1 0,1 0 0,0-1 0,0 1 0,0-1 0,0 0 0,-1-1 0,1 0 0,-1 0 0,1 0 0,-1-1 0,0 0 0,1 0 0,-2 0 0,1-1 0,7-6 0,9-8 0,-1-1 0,31-36 0,-25 25 0,-15 18 0,-1 0 0,2 1 0,21-15 0,-29 23 0,0 0 0,1 0 0,-1 0 0,1 1 0,-1 0 0,1 0 0,0 1 0,0-1 0,0 1 0,0 1 0,0-1 0,0 1 0,8 0 0,42 4 0,0-2 0,64-7 0,-89 2 0,1-2 0,-1-1 0,0-2 0,0-1 0,37-16 0,40-33 0,5-2 0,-110 59 0,-1 0 0,0 1 0,0-1 0,1 1 0,-1 0 0,0-1 0,0 1 0,1 0 0,-1 0 0,0 1 0,1-1 0,-1 0 0,0 1 0,0-1 0,1 1 0,-1 0 0,0 0 0,0 0 0,0 0 0,0 0 0,0 0 0,0 1 0,3 2 0,4 3 0,-1 1 0,0 1 0,11 15 0,-3-4 0,2 1 0,-7-7 0,1 0 0,1-1 0,0-1 0,23 18 0,-32-28 0,-1 1 0,1-1 0,0 0 0,0 0 0,0-1 0,0 1 0,0-1 0,0 0 0,1 0 0,-1 0 0,0-1 0,0 1 0,1-1 0,-1 0 0,0 0 0,1-1 0,-1 1 0,0-1 0,0 0 0,0 0 0,1 0 0,-1-1 0,0 1 0,6-4 0,83-41 0,-63 33 0,0-1 0,-1-2 0,27-19 0,-32 16 0,-2 0 0,0-1 0,-2-2 0,0 0 0,-1-1 0,-1 0 0,-2-2 0,0 0 0,23-54 0,-17 30 0,-7 13 0,39-66 0,-53 99 0,1 0 0,1 0 0,-1 0 0,0 0 0,1 1 0,-1-1 0,1 1 0,0 0 0,4-3 0,-6 4 0,1 1 0,-1-1 0,0 1 0,0 0 0,0-1 0,1 1 0,-1 0 0,0 0 0,1 0 0,-1 0 0,0 0 0,1 0 0,-1 0 0,0 0 0,0 1 0,1-1 0,-1 0 0,0 1 0,0-1 0,0 1 0,0 0 0,1-1 0,-1 1 0,0 0 0,0 0 0,0-1 0,0 1 0,0 0 0,-1 0 0,2 1 0,24 30 0,-2 0 0,-2 1 0,-1 2 0,33 72 0,-25-48 0,337 592 0,-362-646 0,18 23 0,-22-28 0,1 0 0,-1 1 0,1-1 0,-1 0 0,1 1 0,-1-1 0,1 0 0,-1 0 0,1 0 0,0 0 0,-1 1 0,1-1 0,-1 0 0,1 0 0,-1 0 0,1 0 0,-1 0 0,1 0 0,0 0 0,-1-1 0,1 1 0,-1 0 0,1 0 0,-1 0 0,1-1 0,-1 1 0,1 0 0,-1 0 0,1-1 0,-1 1 0,1 0 0,-1-1 0,1 1 0,-1-1 0,0 1 0,1 0 0,-1-1 0,0 1 0,1-1 0,-1 1 0,0-1 0,0 1 0,1-1 0,-1 1 0,0-1 0,0 0 0,0 1 0,0-1 0,0 1 0,0-1 0,0 0 0,34-114 0,-29 88 0,2 1 0,1-1 0,2 1 0,0 1 0,16-29 0,-25 53 0,-1-1 0,1 1 0,0-1 0,0 1 0,0-1 0,0 1 0,1-1 0,-1 1 0,0 0 0,0 0 0,1 0 0,-1 0 0,1 0 0,-1 0 0,1 0 0,-1 0 0,1 0 0,0 1 0,-1-1 0,1 1 0,0-1 0,0 1 0,-1 0 0,1-1 0,2 1 0,-1 1 0,1 0 0,-1 0 0,0 1 0,0-1 0,0 1 0,0-1 0,0 1 0,0 0 0,0 0 0,0 1 0,4 4 0,32 31 0,-19-17 0,1-1 0,45 33 0,-59-48 0,0-1 0,0 0 0,1 0 0,-1-1 0,1 0 0,0 0 0,-1-1 0,1 0 0,1 0 0,-1-1 0,0 0 0,0-1 0,0 1 0,17-3 0,-17 1 0,1-2 0,-1 1 0,0-1 0,0 0 0,0-1 0,-1 1 0,14-10 0,47-39 0,-48 35 0,-15 13 0,6-6 0,1 1 0,-1 1 0,1 0 0,26-13 0,-34 20 0,1-1 0,-1 1 0,0 0 0,1 0 0,-1 1 0,0-1 0,1 1 0,-1 0 0,1 0 0,-1 0 0,1 1 0,-1-1 0,1 1 0,-1 0 0,0 1 0,0-1 0,1 1 0,-1 0 0,0 0 0,5 3 0,-2 0 0,-1-2 0,1 1 0,0-1 0,0 0 0,0 0 0,0-1 0,0 0 0,9 2 0,-11-4 0,0 0 0,1 0 0,-1 0 0,0-1 0,0 0 0,1 0 0,-1 0 0,0-1 0,0 1 0,0-1 0,0 0 0,6-4 0,7-5 0,-1-1 0,-1 0 0,27-26 0,-27 22 0,1 2 0,32-22 0,-46 34 0,0 1 0,0-1 0,0 1 0,0 0 0,1 0 0,-1 0 0,0 1 0,1-1 0,-1 1 0,0-1 0,1 1 0,-1 0 0,1 1 0,-1-1 0,0 0 0,1 1 0,-1 0 0,0 0 0,0 0 0,1 0 0,-1 0 0,0 1 0,0 0 0,3 2 0,7 5 0,0 0 0,-1 1 0,-1 1 0,11 12 0,-12-14 0,101 113 0,-63-66 0,2-2 0,88 72 0,-132-121 0,0-1 0,1 1 0,-1-1 0,1 0 0,0-1 0,0 0 0,0 0 0,9 2 0,-12-4 0,-1-1 0,0 0 0,1 0 0,-1 0 0,0 0 0,1 0 0,-1-1 0,0 1 0,0-1 0,1 0 0,-1 0 0,0 0 0,0 0 0,0-1 0,0 1 0,0-1 0,0 0 0,-1 0 0,1 0 0,4-5 0,43-41 0,-30 27 0,1 2 0,0 0 0,2 0 0,0 2 0,38-21 0,-1 7 0,93-64 0,-151 94 0,6-5 0,0 1 0,0-1 0,0 1 0,1 1 0,12-5 0,-19 8 0,0 1 0,0-1 0,1 1 0,-1-1 0,0 1 0,0 0 0,1 0 0,-1 0 0,0 0 0,0 0 0,1 1 0,-1-1 0,0 1 0,0-1 0,0 1 0,0 0 0,1 0 0,-1 0 0,0 0 0,-1 0 0,1 0 0,0 1 0,0-1 0,0 1 0,-1-1 0,1 1 0,-1 0 0,3 2 0,35 59 0,-30-48 0,0 1 0,1-1 0,21 24 0,-31-39 0,1 0 0,-1 1 0,0-1 0,0 0 0,1 0 0,-1 1 0,0-1 0,1 0 0,-1 0 0,0 0 0,1 0 0,-1 1 0,0-1 0,1 0 0,-1 0 0,0 0 0,1 0 0,-1 0 0,0 0 0,1 0 0,-1 0 0,1 0 0,-1 0 0,0 0 0,1 0 0,-1 0 0,0 0 0,1 0 0,-1 0 0,0-1 0,1 1 0,-1 0 0,0 0 0,1 0 0,-1 0 0,0-1 0,1 1 0,9-14 0,-6 8 0,16-22 0,2 0 0,30-29 0,-43 48 0,0 0 0,0 1 0,1 0 0,0 1 0,1 0 0,-1 1 0,1 0 0,1 1 0,21-8 0,-19 10 0,0 2 0,1-1 0,-1 2 0,0 0 0,1 0 0,-1 2 0,0 0 0,0 0 0,0 1 0,0 1 0,0 0 0,24 12 0,9 8 0,0 1 0,46 35 0,-58-37 0,20 12-1365,-34-24-5461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4:55:02.5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24309,'9314'0'0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4:55:02.5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699 0 24044,'-698'1080'0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4:55:02.5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 23513,'1207'0'0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4:55:02.5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24575,'3'0'0,"0"1"0,1 0 0,-1 0 0,0 0 0,0 0 0,0 0 0,1 1 0,-1-1 0,-1 1 0,1 0 0,0 0 0,0 0 0,-1 0 0,5 4 0,34 42 0,-29-33 0,235 311 0,-197-238 0,73 180 0,-80-167 0,-12-17-1365,-24-64-5461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4:55:02.53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3683 1 24215,'-3683'4572'0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4:55:02.53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24279,'4297'4846'0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4:55:02.536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32 1 21823,'0'6118'0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4:55:02.537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311 1 9830,'-1'8'245,"-1"0"0,0-1 1,0 1-1,-1-1 0,0 1 0,0-1 0,-6 9 0,5-6-117,-29 56 962,-40 87 1468,-17 26-410,30-61-390,42-85-1257,10-20-455</inkml:trace>
  <inkml:trace contextRef="#ctx0" brushRef="#br0" timeOffset="1">311 1 9830,'2'0'74,"0"1"-1,0-1 1,1 1 0,-1 0-1,0 0 1,0 0-1,0 0 1,0 0 0,0 0-1,0 1 1,0-1 0,-1 1-1,1-1 1,0 1-1,-1 0 1,1-1 0,1 4-1,23 36 726,-25-40-748,105 211 3159,-89-174-2697,-13-28-313,-1-1 0,2 0-1,-1-1 1,1 1 0,0-1 0,10 12 0,-9-12 14,0 1 1,-1-1-1,0 1 0,0 0 1,-1 0-1,5 16 1,4 8 308,-3-10-181,-6-12-60,1 0 0,1-1 0,-1 1 0,15 18 0,-7-12 196,-2 1 1,11 21-1,-16-29-367,3 7-66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4:55:02.539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1 9830,'0'6'199,"1"0"0,0 0-1,1 0 1,-1 0 0,1-1 0,0 1-1,1 0 1,-1-1 0,1 0 0,0 1-1,1-1 1,4 6 0,9 10 232,28 26 0,-31-34-167,-3-1 26,0 0-1,0 2 1,-1-1 0,-1 1-1,0 0 1,-1 1-1,11 26 1,-13-28 40,1 0 0,0-1 0,1 0 1,12 15-1,-9-13 67,-1 0 1,9 18-1,-15-24-231,-1 1-1,0-1 1,0 1-1,1 11 1,10 31 739,-6-33-545,0-1-1,2 0 1,-1-1 0,2 0-1,14 16 1,-17-22-315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4:55:02.54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317 0 13051,'-317'593'0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4:55:02.54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76 17752,'9548'0'0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4:55:02.54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22 18552,'9629'-22'0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4:55:02.54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 1 18105,'0'2879'0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4:55:02.54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 8192,'4'21'14649,"8"1"-9965,21 18-6896,-12-17 3113,13 27-901,38 73 0,-31-51 0,-34-59 0</inkml:trace>
  <inkml:trace contextRef="#ctx0" brushRef="#br0" timeOffset="1">424 22 8192,'-3'20'13178,"-4"1"-7845,-26 41-6986,18-36 2817,-43 92-1164,36-89 0,19-25 0,-1 0 0,1 1 0,0-1 0,0 1 0,0 0 0,0 0 0,-3 9 0,3 1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4:55:02.5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0 487 24276,'297'-486'0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4:55:02.5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248 407 24575,'-1'-2'0,"1"1"0,-1 0 0,1-1 0,-1 1 0,0 0 0,1-1 0,-1 1 0,0 0 0,0 0 0,0 0 0,0 0 0,0 0 0,0 0 0,0 0 0,-3-2 0,-24-16 0,19 13 0,-3-3 0,1 0 0,0-1 0,1 0 0,0-1 0,1 0 0,0 0 0,1-1 0,0-1 0,1 1 0,0-1 0,1 0 0,-7-21 0,-13-28 0,18 47 0,1-1 0,1 0 0,-7-23 0,4 8-1365,4 17-5461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4:55:02.54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24475,'614'1037'0,"-629"-1243"0,30 412 0,-189-318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4:55:02.54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741 1 24192,'-741'1036'0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4:55:02.55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44 24132,'1184'-43'0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4:55:02.551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 1 24575,'0'0'-8191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4:55:02.552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1650 1 24352,'-1649'1968'0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4:55:02.553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0 1 24321,'1376'1948'0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4:55:02.554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21 0 0,'-21'530'0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4:55:02.555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0 0 0,'21'594'0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5-08T04:55:02.556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0,'7'1,"0"0,0 0,0 1,0 0,-1 0,1 1,0-1,6 5,-6-3,1-1,0 1,0-1,1-1,11 3,51-1,-49-4,0 1,40 8,-25-3,0-2,1-2,-1-1,38-4,9 1,-65 2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4:55:02.5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2779 24575,'1'-39'0,"2"0"0,2-1 0,1 2 0,3-1 0,12-38 0,-8 32 0,-9 29 0,0-1 0,1 2 0,0-1 0,2 1 0,-1-1 0,2 2 0,0-1 0,1 1 0,19-24 0,-24 33 0,-1 1 0,0-1 0,0 0 0,0 0 0,0 0 0,-1 0 0,0-1 0,0 1 0,-1 0 0,1-1 0,-1 0 0,0 1 0,0-8 0,0-13 0,-4-42 0,1 23 0,-15-155 0,14 181 0,1 0 0,1-1 0,1 1 0,0-1 0,2 1 0,0-1 0,1 1 0,1 0 0,0 0 0,2 1 0,0-1 0,10-18 0,114-277 0,-123 290 0,-2 1 0,0-1 0,-1 0 0,0-31 0,-6-100 0,-1 49 0,-8-203 0,0-13 0,10 258 0,3-71 0,-1 133 0,-1 0 0,0 0 0,1 0 0,0 0 0,-1 0 0,1 0 0,0 0 0,0 1 0,0-1 0,0 0 0,0 0 0,1 1 0,-1-1 0,0 1 0,1-1 0,-1 1 0,1-1 0,0 1 0,-1 0 0,1 0 0,0 0 0,0 0 0,0 0 0,0 0 0,0 1 0,0-1 0,0 0 0,0 1 0,3-1 0,3 0 0,1 0 0,-1 1 0,1 0 0,-1 0 0,17 3 0,-20-2 0,0 1 0,-1 0 0,1 0 0,-1 0 0,0 0 0,0 0 0,0 1 0,0 0 0,7 6 0,29 33 0,-32-34 0,16 19 0,-1 1 0,23 38 0,-40-56 0,0 0 0,-1 0 0,-1 1 0,0-1 0,0 1 0,-1 0 0,-1 0 0,0 0 0,0 1 0,-1-1 0,0 15 0,-4 39 0,0-8 0,5 73 0,0-119 0,0-1 0,1 1 0,0-1 0,9 20 0,-8-20 0,0-1 0,-1 1 0,0 0 0,0 0 0,1 17 0,-2 296 0,-4-157 0,2-160 0,1 96 0,-5 1 0,-21 138 0,17-182 0,2 1 0,4 78 0,-6 63 0,3-142 0,1-17 0,-13 57 0,16-92 0,-1 0 0,1 0 0,1 0 0,-1 0 0,1 1 0,0-1 0,1 0 0,0 0 0,2 11 0,2-3 0,1 1 0,0-2 0,9 17 0,-10-20 0,0 1 0,-1-1 0,-1 1 0,1 0 0,-2 0 0,0 0 0,1 16 0,-5 91 0,0-46 0,1-2 0,2 81 0,2-136-341,0 0 0,0 0-1,11 28 1,-7-28-6485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5-08T04:55:02.558"/>
    </inkml:context>
    <inkml:brush xml:id="br0">
      <inkml:brushProperty name="width" value="0.3" units="cm"/>
      <inkml:brushProperty name="height" value="0.6" units="cm"/>
      <inkml:brushProperty name="color" value="#FF8517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1,'3'0,"6"4,3 1,5-1,2 0,2-1,-3 2,-4 1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4:55:02.5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0 593 24391,'1016'-592'0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4:55:02.5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146 1 24575,'-2'21'0,"0"0"0,-1 0 0,-1 0 0,-2-1 0,-8 26 0,6-22 0,7-21 8,0 0-1,-1 0 1,1-1-1,-1 1 1,0 0-1,1-1 1,-1 1-1,0-1 1,-1 0-1,1 0 1,0 0-1,-1 0 1,1 0-1,-1 0 1,-5 2-1,1 0-255,1-1 1,-1-1-1,-1 1 1,1-1-1,-11 1 1,2-1-6579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4:55:02.5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84 258 24575,'16'1'0,"0"1"0,0 0 0,18 6 0,10 1 0,36 10 0,-100-27 0,1-1 0,1-1 0,-30-21 0,38 22 0,1 0 0,0-1 0,0 0 0,1 0 0,0-1 0,1 0 0,0-1 0,0 1 0,2-1 0,-1 0 0,-3-15 0,-17-32 0,24 55 0,0-1 0,-1 1 0,1 0 0,-1-1 0,-1 1 0,-3-4 0,7 8 0,0 0 0,-1-1 0,1 1 0,0 0 0,-1-1 0,1 1 0,0 0 0,-1 0 0,1 0 0,-1-1 0,1 1 0,-1 0 0,1 0 0,0 0 0,-1 0 0,1 0 0,-1 0 0,1 0 0,-1 0 0,1 0 0,-1 0 0,1 0 0,0 0 0,-1 0 0,1 0 0,-1 0 0,1 0 0,-1 1 0,0-1 0,0 1 0,0 1 0,0-1 0,1 0 0,-1 0 0,0 0 0,1 0 0,-1 0 0,1 1 0,0-1 0,-1 0 0,1 0 0,0 1 0,-1-1 0,1 2 0,-2 19 0,1 0 0,2 26 0,0-33 0,0 0 0,-1 1 0,-1-1 0,0 0 0,-2 0 0,-6 27 0,8-40 0,0 1 0,0-1 0,0 1 0,0-1 0,1 1 0,-1 0 0,1-1 0,0 1 0,-1-1 0,1 1 0,0 0 0,1-1 0,0 5 0,0-5 0,0-1 0,0 0 0,0 1 0,0-1 0,0 0 0,1 0 0,-1 0 0,0 0 0,1 0 0,-1 0 0,1-1 0,-1 1 0,1 0 0,-1-1 0,1 1 0,-1-1 0,1 0 0,0 1 0,-1-1 0,1 0 0,0 0 0,-1 0 0,4 0 0,13 2 33,1 1 0,-1 1 0,19 6-1,-17-4-780,40 7 0,-43-12-6078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4:55:02.5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1 276 24575,'8'-2'0,"0"1"0,0-2 0,0 1 0,-1-1 0,1 0 0,-1-1 0,1 0 0,-1 0 0,0 0 0,8-8 0,14-7 0,12-6 0,-24 14 0,-1 0 0,23-8 0,69-26 0,-48 22 0,-44 16 0,0 0 0,1 2 0,-1 0 0,1 0 0,0 2 0,33-3 0,545 6 0,-260 1 0,-319-2 0,0-1 0,30-6 0,-29 4 0,0 1 0,21-2 0,-13 5 0,-1-2 0,41-8 0,-9 2-1365,-39 7-5461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4:55:02.5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6F2E0-3B75-4BD4-8415-792C5A54452E}">
  <dimension ref="A3:S37"/>
  <sheetViews>
    <sheetView tabSelected="1" workbookViewId="0">
      <selection activeCell="Q35" sqref="Q35"/>
    </sheetView>
  </sheetViews>
  <sheetFormatPr defaultRowHeight="14.4" x14ac:dyDescent="0.3"/>
  <cols>
    <col min="1" max="1" width="28.77734375" customWidth="1"/>
    <col min="2" max="2" width="4.77734375" customWidth="1"/>
    <col min="3" max="14" width="3.77734375" customWidth="1"/>
    <col min="18" max="18" width="20.44140625" bestFit="1" customWidth="1"/>
    <col min="20" max="20" width="32.21875" customWidth="1"/>
  </cols>
  <sheetData>
    <row r="3" spans="1:14" x14ac:dyDescent="0.3">
      <c r="A3" s="8" t="s">
        <v>16</v>
      </c>
    </row>
    <row r="4" spans="1:14" ht="19.95" customHeight="1" x14ac:dyDescent="0.3"/>
    <row r="5" spans="1:14" ht="19.95" customHeight="1" x14ac:dyDescent="0.3">
      <c r="H5" t="s">
        <v>15</v>
      </c>
    </row>
    <row r="6" spans="1:14" ht="19.95" customHeight="1" x14ac:dyDescent="0.3">
      <c r="C6">
        <v>12</v>
      </c>
      <c r="D6">
        <v>11</v>
      </c>
      <c r="E6">
        <v>10</v>
      </c>
      <c r="F6">
        <v>9</v>
      </c>
      <c r="G6">
        <v>8</v>
      </c>
      <c r="H6">
        <v>7</v>
      </c>
      <c r="I6">
        <v>6</v>
      </c>
      <c r="J6">
        <v>5</v>
      </c>
      <c r="K6">
        <v>4</v>
      </c>
      <c r="L6">
        <v>3</v>
      </c>
      <c r="M6">
        <v>2</v>
      </c>
      <c r="N6">
        <v>1</v>
      </c>
    </row>
    <row r="7" spans="1:14" ht="19.95" customHeight="1" x14ac:dyDescent="0.3">
      <c r="B7">
        <v>1</v>
      </c>
      <c r="C7" s="12"/>
      <c r="D7" s="12"/>
      <c r="E7" s="12"/>
      <c r="F7" s="12"/>
      <c r="G7" s="12"/>
      <c r="H7" s="15"/>
      <c r="I7" s="13"/>
      <c r="J7" s="12"/>
      <c r="K7" s="12"/>
      <c r="L7" s="12"/>
      <c r="M7" s="12"/>
      <c r="N7" s="12"/>
    </row>
    <row r="8" spans="1:14" ht="19.95" customHeight="1" x14ac:dyDescent="0.3">
      <c r="B8">
        <v>2</v>
      </c>
      <c r="C8" s="12"/>
      <c r="D8" s="12"/>
      <c r="E8" s="12"/>
      <c r="F8" s="12"/>
      <c r="G8" s="12"/>
      <c r="H8" s="15"/>
      <c r="I8" s="13"/>
      <c r="J8" s="12"/>
      <c r="K8" s="12"/>
      <c r="L8" s="12"/>
      <c r="M8" s="12"/>
      <c r="N8" s="12"/>
    </row>
    <row r="9" spans="1:14" ht="19.95" customHeight="1" x14ac:dyDescent="0.3">
      <c r="B9">
        <v>3</v>
      </c>
      <c r="C9" s="12"/>
      <c r="D9" s="12"/>
      <c r="E9" s="12"/>
      <c r="F9" s="12"/>
      <c r="G9" s="12"/>
      <c r="H9" s="15"/>
      <c r="I9" s="13"/>
      <c r="J9" s="12"/>
      <c r="K9" s="12"/>
      <c r="L9" s="12"/>
      <c r="M9" s="12"/>
      <c r="N9" s="12"/>
    </row>
    <row r="10" spans="1:14" ht="19.95" customHeight="1" x14ac:dyDescent="0.3">
      <c r="B10">
        <v>4</v>
      </c>
      <c r="C10" s="12"/>
      <c r="D10" s="12"/>
      <c r="E10" s="12"/>
      <c r="F10" s="12"/>
      <c r="G10" s="12"/>
      <c r="H10" s="15"/>
      <c r="I10" s="13"/>
      <c r="J10" s="12"/>
      <c r="K10" s="12"/>
      <c r="L10" s="12"/>
      <c r="M10" s="12"/>
      <c r="N10" s="12"/>
    </row>
    <row r="11" spans="1:14" ht="19.95" customHeight="1" x14ac:dyDescent="0.3">
      <c r="B11">
        <v>5</v>
      </c>
      <c r="C11" s="12"/>
      <c r="D11" s="12"/>
      <c r="E11" s="12"/>
      <c r="F11" s="12"/>
      <c r="G11" s="12"/>
      <c r="H11" s="15"/>
      <c r="I11" s="13"/>
      <c r="J11" s="12"/>
      <c r="K11" s="12"/>
      <c r="L11" s="12"/>
      <c r="M11" s="12"/>
      <c r="N11" s="12"/>
    </row>
    <row r="12" spans="1:14" ht="19.95" customHeight="1" thickBot="1" x14ac:dyDescent="0.35">
      <c r="A12" s="22" t="s">
        <v>14</v>
      </c>
      <c r="B12">
        <v>6</v>
      </c>
      <c r="C12" s="19"/>
      <c r="D12" s="19"/>
      <c r="E12" s="19"/>
      <c r="F12" s="19"/>
      <c r="G12" s="19"/>
      <c r="H12" s="21"/>
      <c r="I12" s="20"/>
      <c r="J12" s="19"/>
      <c r="K12" s="19"/>
      <c r="L12" s="19"/>
      <c r="M12" s="19"/>
      <c r="N12" s="19"/>
    </row>
    <row r="13" spans="1:14" ht="19.95" customHeight="1" x14ac:dyDescent="0.3">
      <c r="B13">
        <v>7</v>
      </c>
      <c r="C13" s="16"/>
      <c r="D13" s="16"/>
      <c r="E13" s="16"/>
      <c r="F13" s="16"/>
      <c r="G13" s="16"/>
      <c r="H13" s="18"/>
      <c r="I13" s="17"/>
      <c r="J13" s="16"/>
      <c r="K13" s="16"/>
      <c r="L13" s="16"/>
      <c r="M13" s="16"/>
      <c r="N13" s="16"/>
    </row>
    <row r="14" spans="1:14" ht="19.95" customHeight="1" x14ac:dyDescent="0.3">
      <c r="B14">
        <v>8</v>
      </c>
      <c r="C14" s="12"/>
      <c r="D14" s="12"/>
      <c r="E14" s="12"/>
      <c r="F14" s="12"/>
      <c r="G14" s="12"/>
      <c r="H14" s="15"/>
      <c r="I14" s="13"/>
      <c r="J14" s="12"/>
      <c r="K14" s="12"/>
      <c r="L14" s="12"/>
      <c r="M14" s="12"/>
      <c r="N14" s="12"/>
    </row>
    <row r="15" spans="1:14" ht="19.95" customHeight="1" x14ac:dyDescent="0.3">
      <c r="B15">
        <v>9</v>
      </c>
      <c r="C15" s="12"/>
      <c r="D15" s="12"/>
      <c r="E15" s="12"/>
      <c r="F15" s="12"/>
      <c r="G15" s="12"/>
      <c r="H15" s="15"/>
      <c r="I15" s="13"/>
      <c r="J15" s="12"/>
      <c r="K15" s="12"/>
      <c r="L15" s="12"/>
      <c r="M15" s="12"/>
      <c r="N15" s="12"/>
    </row>
    <row r="16" spans="1:14" ht="19.95" customHeight="1" x14ac:dyDescent="0.3">
      <c r="B16">
        <v>10</v>
      </c>
      <c r="C16" s="12"/>
      <c r="D16" s="12"/>
      <c r="E16" s="12"/>
      <c r="F16" s="12"/>
      <c r="G16" s="12"/>
      <c r="H16" s="15"/>
      <c r="I16" s="13"/>
      <c r="J16" s="12"/>
      <c r="K16" s="12"/>
      <c r="L16" s="12"/>
      <c r="M16" s="12"/>
      <c r="N16" s="12"/>
    </row>
    <row r="17" spans="1:19" ht="19.95" customHeight="1" x14ac:dyDescent="0.3">
      <c r="B17">
        <v>11</v>
      </c>
      <c r="C17" s="12"/>
      <c r="D17" s="12"/>
      <c r="E17" s="12"/>
      <c r="F17" s="12"/>
      <c r="G17" s="12"/>
      <c r="H17" s="15"/>
      <c r="I17" s="13"/>
      <c r="J17" s="12"/>
      <c r="K17" s="12"/>
      <c r="L17" s="12"/>
      <c r="M17" s="12"/>
      <c r="N17" s="12"/>
    </row>
    <row r="18" spans="1:19" ht="19.95" customHeight="1" x14ac:dyDescent="0.3">
      <c r="B18">
        <v>12</v>
      </c>
      <c r="C18" s="12"/>
      <c r="D18" s="12"/>
      <c r="E18" s="12"/>
      <c r="F18" s="12"/>
      <c r="G18" s="12"/>
      <c r="H18" s="14"/>
      <c r="I18" s="13"/>
      <c r="J18" s="12"/>
      <c r="K18" s="12"/>
      <c r="L18" s="12"/>
      <c r="M18" s="12"/>
      <c r="N18" s="12"/>
    </row>
    <row r="19" spans="1:19" ht="19.95" customHeight="1" x14ac:dyDescent="0.3"/>
    <row r="20" spans="1:19" ht="19.95" customHeight="1" x14ac:dyDescent="0.3">
      <c r="A20" s="11" t="s">
        <v>13</v>
      </c>
    </row>
    <row r="21" spans="1:19" ht="19.95" customHeight="1" x14ac:dyDescent="0.3">
      <c r="A21" s="9" t="s">
        <v>12</v>
      </c>
      <c r="P21" t="s">
        <v>11</v>
      </c>
    </row>
    <row r="23" spans="1:19" x14ac:dyDescent="0.3">
      <c r="A23" s="10" t="s">
        <v>10</v>
      </c>
    </row>
    <row r="24" spans="1:19" x14ac:dyDescent="0.3">
      <c r="A24" s="10"/>
      <c r="P24" t="s">
        <v>9</v>
      </c>
    </row>
    <row r="26" spans="1:19" x14ac:dyDescent="0.3">
      <c r="P26" t="s">
        <v>8</v>
      </c>
    </row>
    <row r="28" spans="1:19" x14ac:dyDescent="0.3">
      <c r="A28" s="9" t="s">
        <v>7</v>
      </c>
      <c r="Q28">
        <v>1447</v>
      </c>
      <c r="R28" s="1" t="s">
        <v>1</v>
      </c>
    </row>
    <row r="29" spans="1:19" x14ac:dyDescent="0.3">
      <c r="Q29">
        <v>200</v>
      </c>
      <c r="R29" s="1" t="s">
        <v>4</v>
      </c>
    </row>
    <row r="30" spans="1:19" ht="15" thickBot="1" x14ac:dyDescent="0.35">
      <c r="Q30" s="4">
        <v>60</v>
      </c>
      <c r="R30" s="3" t="s">
        <v>0</v>
      </c>
    </row>
    <row r="31" spans="1:19" x14ac:dyDescent="0.3">
      <c r="Q31" s="23">
        <f>2 * DEGREES(ATAN(Q28 / (2 * Q29 * Q30)))</f>
        <v>6.9005627917824732</v>
      </c>
      <c r="R31" s="8" t="s">
        <v>6</v>
      </c>
      <c r="S31" s="7" t="s">
        <v>5</v>
      </c>
    </row>
    <row r="34" spans="2:18" ht="15" thickBot="1" x14ac:dyDescent="0.35">
      <c r="B34" s="6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5"/>
      <c r="Q34">
        <v>100</v>
      </c>
      <c r="R34" s="1" t="s">
        <v>4</v>
      </c>
    </row>
    <row r="35" spans="2:18" x14ac:dyDescent="0.3">
      <c r="G35" t="s">
        <v>3</v>
      </c>
      <c r="Q35">
        <v>6.9</v>
      </c>
      <c r="R35" s="1" t="s">
        <v>2</v>
      </c>
    </row>
    <row r="36" spans="2:18" ht="15" thickBot="1" x14ac:dyDescent="0.35">
      <c r="Q36" s="4">
        <v>1447</v>
      </c>
      <c r="R36" s="3" t="s">
        <v>1</v>
      </c>
    </row>
    <row r="37" spans="2:18" x14ac:dyDescent="0.3">
      <c r="Q37" s="2">
        <f>Q36 / (2 * Q34 * TAN(RADIANS(Q35 / 2)))</f>
        <v>120.00981138436238</v>
      </c>
      <c r="R37" s="1" t="s">
        <v>0</v>
      </c>
    </row>
  </sheetData>
  <mergeCells count="1">
    <mergeCell ref="A23:A24"/>
  </mergeCells>
  <conditionalFormatting sqref="Q31">
    <cfRule type="cellIs" dxfId="0" priority="3" operator="lessThan">
      <formula>10</formula>
    </cfRule>
    <cfRule type="cellIs" dxfId="1" priority="2" operator="lessThan">
      <formula>6.9</formula>
    </cfRule>
    <cfRule type="cellIs" dxfId="2" priority="1" operator="lessThan">
      <formula>6089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GIS-Tools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Davis</dc:creator>
  <cp:lastModifiedBy>Brian Davis</cp:lastModifiedBy>
  <dcterms:created xsi:type="dcterms:W3CDTF">2026-05-08T04:55:02Z</dcterms:created>
  <dcterms:modified xsi:type="dcterms:W3CDTF">2026-05-08T05:28:01Z</dcterms:modified>
</cp:coreProperties>
</file>